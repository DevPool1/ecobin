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€#,##0.00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000000"/>
      <sz val="11"/>
    </font>
    <font>
      <name val="Arial"/>
      <charset val="1"/>
      <color rgb="FF000000"/>
      <sz val="11"/>
    </font>
    <font>
      <name val="Arial"/>
      <charset val="1"/>
      <b val="1"/>
      <color rgb="FFFFFFFF"/>
      <sz val="11"/>
    </font>
    <font>
      <name val="Arial"/>
      <charset val="1"/>
      <b val="1"/>
      <color rgb="FF7F3F00"/>
      <sz val="11"/>
    </font>
    <font>
      <name val="Arial"/>
      <charset val="1"/>
      <i val="1"/>
      <color rgb="FF444444"/>
      <sz val="10"/>
    </font>
    <font>
      <name val="Arial"/>
      <family val="2"/>
      <color rgb="FF000000"/>
      <sz val="11"/>
    </font>
    <font>
      <b val="1"/>
    </font>
    <font>
      <i val="1"/>
      <color rgb="00FF0000"/>
    </font>
    <font>
      <b val="1"/>
      <i val="1"/>
      <color rgb="00FF0000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FF1F7A4A"/>
        <bgColor rgb="FF008080"/>
      </patternFill>
    </fill>
    <fill>
      <patternFill patternType="solid">
        <fgColor rgb="FFD6E8D4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6E8D4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E2EFDA"/>
      </patternFill>
    </fill>
    <fill>
      <patternFill patternType="solid">
        <fgColor theme="6" tint="0.7999816888943144"/>
        <bgColor rgb="FF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6" fillId="0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9" borderId="6" applyAlignment="1" pivotButton="0" quotePrefix="0" xfId="0">
      <alignment vertical="center" wrapText="1"/>
    </xf>
    <xf numFmtId="0" fontId="7" fillId="9" borderId="6" applyAlignment="1" pivotButton="0" quotePrefix="0" xfId="0">
      <alignment vertical="center" wrapText="1"/>
    </xf>
    <xf numFmtId="0" fontId="10" fillId="10" borderId="1" applyAlignment="1" pivotButton="0" quotePrefix="0" xfId="0">
      <alignment horizontal="center" vertical="center" wrapText="1"/>
    </xf>
    <xf numFmtId="0" fontId="0" fillId="10" borderId="4" pivotButton="0" quotePrefix="0" xfId="0"/>
    <xf numFmtId="0" fontId="0" fillId="10" borderId="5" pivotButton="0" quotePrefix="0" xfId="0"/>
    <xf numFmtId="0" fontId="8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3" fillId="11" borderId="6" applyAlignment="1" pivotButton="0" quotePrefix="0" xfId="0">
      <alignment vertical="center" wrapText="1"/>
    </xf>
    <xf numFmtId="0" fontId="7" fillId="11" borderId="6" applyAlignment="1" pivotButton="0" quotePrefix="0" xfId="0">
      <alignment vertical="center" wrapText="1"/>
    </xf>
    <xf numFmtId="164" fontId="3" fillId="9" borderId="6" applyAlignment="1" pivotButton="0" quotePrefix="0" xfId="0">
      <alignment horizontal="center" vertical="center" wrapText="1"/>
    </xf>
    <xf numFmtId="0" fontId="0" fillId="9" borderId="6" applyAlignment="1" pivotButton="0" quotePrefix="0" xfId="0">
      <alignment vertical="center" wrapText="1"/>
    </xf>
    <xf numFmtId="0" fontId="8" fillId="12" borderId="6" applyAlignment="1" pivotButton="0" quotePrefix="0" xfId="0">
      <alignment horizontal="center" vertical="center" wrapText="1"/>
    </xf>
    <xf numFmtId="0" fontId="0" fillId="12" borderId="6" pivotButton="0" quotePrefix="0" xfId="0"/>
    <xf numFmtId="164" fontId="8" fillId="12" borderId="6" applyAlignment="1" pivotButton="0" quotePrefix="0" xfId="0">
      <alignment horizontal="center" vertical="center" wrapText="1"/>
    </xf>
    <xf numFmtId="0" fontId="11" fillId="12" borderId="6" applyAlignment="1" pivotButton="0" quotePrefix="0" xfId="0">
      <alignment horizontal="left" vertical="center" wrapText="1"/>
    </xf>
    <xf numFmtId="0" fontId="3" fillId="12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A"/>
      <rgbColor rgb="FFC0C0C0"/>
      <rgbColor rgb="FF808080"/>
      <rgbColor rgb="FF9999FF"/>
      <rgbColor rgb="FF993366"/>
      <rgbColor rgb="FFFFF2CC"/>
      <rgbColor rgb="FFD6E8D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7F3F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6"/>
  <sheetViews>
    <sheetView tabSelected="1" zoomScaleNormal="100" workbookViewId="0">
      <selection activeCell="D23" sqref="D23"/>
    </sheetView>
  </sheetViews>
  <sheetFormatPr baseColWidth="8" defaultColWidth="8.7109375" defaultRowHeight="15"/>
  <cols>
    <col width="8" customWidth="1" min="1" max="1"/>
    <col width="44" customWidth="1" min="2" max="2"/>
    <col width="14" customWidth="1" min="3" max="3"/>
    <col width="12" customWidth="1" min="4" max="4"/>
    <col width="22" customWidth="1" min="5" max="5"/>
    <col width="36" customWidth="1" min="6" max="6"/>
  </cols>
  <sheetData>
    <row r="1" ht="6" customHeight="1"/>
    <row r="2" ht="25.5" customHeight="1">
      <c r="A2" s="6" t="inlineStr">
        <is>
          <t>Grupo</t>
        </is>
      </c>
      <c r="B2" s="6" t="inlineStr">
        <is>
          <t>ECOBIN — Sistema IoT de Reciclagem Inteligente com Classificação por IA</t>
        </is>
      </c>
      <c r="C2" s="18" t="n"/>
      <c r="D2" s="18" t="n"/>
      <c r="E2" s="18" t="n"/>
      <c r="F2" s="19" t="n"/>
    </row>
    <row r="3" ht="19.5" customHeight="1">
      <c r="A3" s="7" t="inlineStr">
        <is>
          <t>Aluno 1</t>
        </is>
      </c>
      <c r="B3" s="8" t="inlineStr">
        <is>
          <t>Alexandru Tutunaru nº58379</t>
        </is>
      </c>
      <c r="C3" s="18" t="n"/>
      <c r="D3" s="18" t="n"/>
      <c r="E3" s="18" t="n"/>
      <c r="F3" s="19" t="n"/>
    </row>
    <row r="4" ht="6" customHeight="1"/>
    <row r="5" ht="31.5" customHeight="1">
      <c r="A5" s="9" t="inlineStr">
        <is>
          <t>Número de Componentes</t>
        </is>
      </c>
      <c r="B5" s="9" t="inlineStr">
        <is>
          <t>Descrição</t>
        </is>
      </c>
      <c r="C5" s="9" t="inlineStr">
        <is>
          <t>Preço unitário (c iva)</t>
        </is>
      </c>
      <c r="D5" s="9" t="inlineStr">
        <is>
          <t>Preço total</t>
        </is>
      </c>
      <c r="E5" s="9" t="inlineStr">
        <is>
          <t>Disponível no Lab (Sim/Não)</t>
        </is>
      </c>
      <c r="F5" s="9" t="inlineStr">
        <is>
          <t>Link para componente na Mauser (se não houver no Lab)</t>
        </is>
      </c>
    </row>
    <row r="6" ht="19.5" customHeight="1">
      <c r="A6" s="10" t="n">
        <v>1</v>
      </c>
      <c r="B6" s="11" t="inlineStr">
        <is>
          <t>Módulo ESP32-CAM (OV2640)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Sim (Lab)</t>
        </is>
      </c>
      <c r="F6" s="11" t="inlineStr">
        <is>
          <t>-</t>
        </is>
      </c>
    </row>
    <row r="7" ht="19.5" customHeight="1">
      <c r="A7" s="10" t="n">
        <v>1</v>
      </c>
      <c r="B7" s="11" t="inlineStr">
        <is>
          <t>ESP32-WROOM-32UE (Development Board)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Sim (Lab)</t>
        </is>
      </c>
      <c r="F7" s="11" t="inlineStr">
        <is>
          <t>-</t>
        </is>
      </c>
    </row>
    <row r="8" ht="19.5" customHeight="1">
      <c r="A8" s="10" t="n">
        <v>1</v>
      </c>
      <c r="B8" s="11" t="inlineStr">
        <is>
          <t>Raspberry Pi 2GB (Gateway MQTT + IA + SQLite + WebSocket)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Sim (Lab)</t>
        </is>
      </c>
      <c r="F8" s="11" t="inlineStr">
        <is>
          <t>-</t>
        </is>
      </c>
    </row>
    <row r="9" ht="19.5" customHeight="1">
      <c r="A9" s="10" t="n">
        <v>1</v>
      </c>
      <c r="B9" s="11" t="inlineStr">
        <is>
          <t>Módulo de 1 relé 3V (Low level trigger)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Sim (Lab)</t>
        </is>
      </c>
      <c r="F9" s="11" t="inlineStr">
        <is>
          <t>-</t>
        </is>
      </c>
    </row>
    <row r="10" ht="19.5" customHeight="1">
      <c r="A10" s="20" t="n">
        <v>1</v>
      </c>
      <c r="B10" s="20" t="inlineStr">
        <is>
          <t>Seeed — Módulo Grove — Controlador MOSFET</t>
        </is>
      </c>
      <c r="C10" s="20" t="inlineStr">
        <is>
          <t>-</t>
        </is>
      </c>
      <c r="D10" s="20" t="inlineStr">
        <is>
          <t>-</t>
        </is>
      </c>
      <c r="E10" s="20" t="inlineStr">
        <is>
          <t>Não (verificar lab)</t>
        </is>
      </c>
      <c r="F10" s="20" t="inlineStr">
        <is>
          <t>https://www.mouser.pt</t>
        </is>
      </c>
    </row>
    <row r="11" ht="19.5" customHeight="1">
      <c r="A11" s="10" t="n">
        <v>1</v>
      </c>
      <c r="B11" s="11" t="inlineStr">
        <is>
          <t>Arduino UNO R4 WiFi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Sim (Casa)</t>
        </is>
      </c>
      <c r="F11" s="11" t="inlineStr">
        <is>
          <t>-</t>
        </is>
      </c>
    </row>
    <row r="12" ht="19.5" customHeight="1">
      <c r="A12" s="10" t="n">
        <v>1</v>
      </c>
      <c r="B12" s="11" t="inlineStr">
        <is>
          <t>Impressora 3D FDM (165×165×180mm) + Filamento PLA — caixa do contentor, tampa com mecanismo servo, suporte ESP32-CAM, suporte HC-SR04, painel OLED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Sim (Casa — aluno)</t>
        </is>
      </c>
      <c r="F12" s="11" t="inlineStr">
        <is>
          <t>-</t>
        </is>
      </c>
    </row>
    <row r="13" ht="19.5" customHeight="1">
      <c r="A13" s="28" t="n">
        <v>1</v>
      </c>
      <c r="B13" s="28" t="inlineStr">
        <is>
          <t>Sensor Ultrassónico HC-SR04 (nível de enchimento)</t>
        </is>
      </c>
      <c r="C13" s="28" t="inlineStr">
        <is>
          <t>-</t>
        </is>
      </c>
      <c r="D13" s="28" t="inlineStr">
        <is>
          <t>-</t>
        </is>
      </c>
      <c r="E13" s="29" t="inlineStr">
        <is>
          <t>Sim (Lab)</t>
        </is>
      </c>
      <c r="F13" s="28" t="inlineStr">
        <is>
          <t>-</t>
        </is>
      </c>
    </row>
    <row r="14" ht="19.5" customHeight="1">
      <c r="A14" s="10" t="n">
        <v>1</v>
      </c>
      <c r="B14" s="11" t="inlineStr">
        <is>
          <t>Sensor PIR HC-SR501 (deteção de aproximação)</t>
        </is>
      </c>
      <c r="C14" s="10" t="inlineStr">
        <is>
          <t>-</t>
        </is>
      </c>
      <c r="D14" s="10" t="inlineStr">
        <is>
          <t>-</t>
        </is>
      </c>
      <c r="E14" s="17" t="inlineStr">
        <is>
          <t>Sim (lab)</t>
        </is>
      </c>
      <c r="F14" s="11" t="inlineStr">
        <is>
          <t>https://www.mouser.pt</t>
        </is>
      </c>
    </row>
    <row r="15" ht="19.5" customHeight="1">
      <c r="A15" s="22" t="inlineStr">
        <is>
          <t>— A ADQUIRIR / VERIFICAR —</t>
        </is>
      </c>
      <c r="B15" s="18" t="n"/>
      <c r="C15" s="18" t="n"/>
      <c r="D15" s="18" t="n"/>
      <c r="E15" s="18" t="n"/>
      <c r="F15" s="19" t="n"/>
    </row>
    <row r="16" ht="19.5" customHeight="1">
      <c r="A16" s="12" t="n">
        <v>1</v>
      </c>
      <c r="B16" s="13" t="inlineStr">
        <is>
          <t>Servo Motor SG90 / MG90S (abertura automática da tampa 3D)</t>
        </is>
      </c>
      <c r="C16" s="14" t="n">
        <v>4</v>
      </c>
      <c r="D16" s="30" t="n">
        <v>4</v>
      </c>
      <c r="E16" s="12" t="inlineStr">
        <is>
          <t>Não</t>
        </is>
      </c>
      <c r="F16" s="13" t="inlineStr">
        <is>
          <t>https://www.mouser.pt</t>
        </is>
      </c>
    </row>
    <row r="17" ht="30" customHeight="1">
      <c r="A17" s="31" t="n">
        <v>1</v>
      </c>
      <c r="B17" s="31" t="inlineStr">
        <is>
          <t>Motor de Passo 28BYJ-48 + Módulo Driver ULN2003 (disco rotatório — 4 compartimentos)</t>
        </is>
      </c>
      <c r="C17" s="31" t="n">
        <v>4.5</v>
      </c>
      <c r="D17" s="31" t="n">
        <v>4.5</v>
      </c>
      <c r="E17" s="31" t="inlineStr">
        <is>
          <t>Não — encomendar via professor (Mauser)</t>
        </is>
      </c>
      <c r="F17" s="31" t="inlineStr">
        <is>
          <t>https://www.mouser.pt — pesquisar "28BYJ-48 stepper"</t>
        </is>
      </c>
    </row>
    <row r="18" ht="19.5" customHeight="1">
      <c r="A18" s="12" t="n">
        <v>1</v>
      </c>
      <c r="B18" s="13" t="inlineStr">
        <is>
          <t>Display OLED SSD1306 128x64 I2C</t>
        </is>
      </c>
      <c r="C18" s="14" t="n">
        <v>6</v>
      </c>
      <c r="D18" s="14">
        <f>A17*C17</f>
        <v/>
      </c>
      <c r="E18" s="12" t="inlineStr">
        <is>
          <t>Não (verificar lab)</t>
        </is>
      </c>
      <c r="F18" s="13" t="inlineStr">
        <is>
          <t>https://www.mouser.pt</t>
        </is>
      </c>
    </row>
    <row r="19" ht="19.5" customHeight="1">
      <c r="A19" s="12" t="n">
        <v>1</v>
      </c>
      <c r="B19" s="13" t="inlineStr">
        <is>
          <t>Fita NeoPixel WS2812B (8 LEDs RGB)</t>
        </is>
      </c>
      <c r="C19" s="14" t="n">
        <v>3.5</v>
      </c>
      <c r="D19" s="14">
        <f>A18*C18</f>
        <v/>
      </c>
      <c r="E19" s="12" t="inlineStr">
        <is>
          <t>Não</t>
        </is>
      </c>
      <c r="F19" s="13" t="inlineStr">
        <is>
          <t>AliExpress / Amazon</t>
        </is>
      </c>
    </row>
    <row r="20" ht="19.5" customHeight="1">
      <c r="A20" s="12" t="n">
        <v>1</v>
      </c>
      <c r="B20" s="13" t="inlineStr">
        <is>
          <t>Buzzer Piezoelétrico Ativo 5V</t>
        </is>
      </c>
      <c r="C20" s="14" t="n">
        <v>1.5</v>
      </c>
      <c r="D20" s="14">
        <f>A19*C19</f>
        <v/>
      </c>
      <c r="E20" s="12" t="inlineStr">
        <is>
          <t>Não (verificar lab)</t>
        </is>
      </c>
      <c r="F20" s="13" t="inlineStr">
        <is>
          <t>https://www.mouser.pt</t>
        </is>
      </c>
    </row>
    <row r="21" ht="19.5" customHeight="1">
      <c r="A21" s="12" t="n">
        <v>1</v>
      </c>
      <c r="B21" s="13" t="inlineStr">
        <is>
          <t>Sensor Magnético Reed Switch (estado da tampa)</t>
        </is>
      </c>
      <c r="C21" s="14" t="n">
        <v>1.5</v>
      </c>
      <c r="D21" s="14">
        <f>A20*C20</f>
        <v/>
      </c>
      <c r="E21" s="12" t="inlineStr">
        <is>
          <t>Não (verificar lab)</t>
        </is>
      </c>
      <c r="F21" s="13" t="inlineStr">
        <is>
          <t>https://www.mouser.pt</t>
        </is>
      </c>
    </row>
    <row r="22" ht="19.5" customHeight="1">
      <c r="A22" s="12" t="n">
        <v>1</v>
      </c>
      <c r="B22" s="13" t="inlineStr">
        <is>
          <t>LDR (Fotorresistência)</t>
        </is>
      </c>
      <c r="C22" s="14" t="n">
        <v>0.5</v>
      </c>
      <c r="D22" s="14">
        <f>A21*C21</f>
        <v/>
      </c>
      <c r="E22" s="12" t="inlineStr">
        <is>
          <t>Não (verificar lab)</t>
        </is>
      </c>
      <c r="F22" s="13" t="inlineStr">
        <is>
          <t>Lab / Mauser</t>
        </is>
      </c>
    </row>
    <row r="23" ht="24" customHeight="1">
      <c r="A23" s="12" t="n">
        <v>1</v>
      </c>
      <c r="B23" s="13" t="inlineStr">
        <is>
          <t>Resistências (4.7kΩ, 10kΩ, 330Ω)</t>
        </is>
      </c>
      <c r="C23" s="12" t="inlineStr">
        <is>
          <t>-</t>
        </is>
      </c>
      <c r="D23" s="12" t="n"/>
      <c r="E23" s="12" t="inlineStr">
        <is>
          <t>Verificar lab</t>
        </is>
      </c>
      <c r="F23" s="13" t="inlineStr">
        <is>
          <t>Lab</t>
        </is>
      </c>
    </row>
    <row r="24">
      <c r="A24" s="32" t="inlineStr">
        <is>
          <t>TOTAL ESTIMADO A COMPRAR</t>
        </is>
      </c>
      <c r="B24" s="33" t="n"/>
      <c r="C24" s="33" t="n"/>
      <c r="D24" s="34" t="inlineStr">
        <is>
          <t>~€21-32</t>
        </is>
      </c>
      <c r="E24" s="35" t="inlineStr">
        <is>
          <t>MOSFET a confirmar com professor</t>
        </is>
      </c>
      <c r="F24" s="36" t="n"/>
    </row>
    <row r="25"/>
    <row r="26">
      <c r="A26" s="1" t="inlineStr">
        <is>
          <t>Verde = disponível (€0)  |  Amarelo = a verificar/adquirir  |  ⭐ NOVO: Motor 28BYJ-48 = mecanismo disco rotatório 4 compartimentos  |  Impressão 3D (PLA, impressora 165×165×180mm): por conta do aluno  |  Google Gemini API Free Tier: gratuito</t>
        </is>
      </c>
    </row>
  </sheetData>
  <mergeCells count="5">
    <mergeCell ref="B2:F2"/>
    <mergeCell ref="A23:C23"/>
    <mergeCell ref="B3:F3"/>
    <mergeCell ref="A15:F15"/>
    <mergeCell ref="A25:F25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2026-04-09T09:11:03Z</dcterms:created>
  <dcterms:modified xmlns:dcterms="http://purl.org/dc/terms/" xmlns:xsi="http://www.w3.org/2001/XMLSchema-instance" xsi:type="dcterms:W3CDTF">2026-04-09T23:49:20Z</dcterms:modified>
  <cp:lastModifiedBy>ALEXANDRU TUTUNARU</cp:lastModifiedBy>
  <cp:revision>0</cp:revision>
</cp:coreProperties>
</file>